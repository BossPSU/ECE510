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535d061326e637/Documents/psu/510/GitHub/codefest/cf04/"/>
    </mc:Choice>
  </mc:AlternateContent>
  <xr:revisionPtr revIDLastSave="0" documentId="8_{8CFAA068-FD07-44AD-BBFA-FB9E13DDFCC3}" xr6:coauthVersionLast="47" xr6:coauthVersionMax="47" xr10:uidLastSave="{00000000-0000-0000-0000-000000000000}"/>
  <bookViews>
    <workbookView xWindow="-96" yWindow="0" windowWidth="11712" windowHeight="12336" activeTab="1" xr2:uid="{D345A0E1-C88A-43C5-918C-D886CEE6E6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 a="1"/>
  <c r="G2" i="2" s="1"/>
  <c r="H20" i="1"/>
  <c r="G20" i="1"/>
  <c r="B21" i="1"/>
  <c r="C21" i="1"/>
  <c r="D21" i="1"/>
  <c r="E21" i="1"/>
  <c r="B22" i="1"/>
  <c r="C22" i="1"/>
  <c r="D22" i="1"/>
  <c r="E22" i="1"/>
  <c r="B23" i="1"/>
  <c r="C23" i="1"/>
  <c r="D23" i="1"/>
  <c r="E23" i="1"/>
  <c r="C20" i="1"/>
  <c r="D20" i="1"/>
  <c r="E20" i="1"/>
  <c r="B20" i="1"/>
  <c r="B15" i="1"/>
  <c r="C15" i="1"/>
  <c r="D15" i="1"/>
  <c r="E15" i="1"/>
  <c r="B16" i="1"/>
  <c r="C16" i="1"/>
  <c r="D16" i="1"/>
  <c r="E16" i="1"/>
  <c r="B17" i="1"/>
  <c r="C17" i="1"/>
  <c r="D17" i="1"/>
  <c r="E17" i="1"/>
  <c r="C14" i="1"/>
  <c r="D14" i="1"/>
  <c r="E14" i="1"/>
  <c r="B14" i="1"/>
  <c r="B9" i="1"/>
  <c r="C9" i="1"/>
  <c r="D9" i="1"/>
  <c r="E9" i="1"/>
  <c r="B10" i="1"/>
  <c r="C10" i="1"/>
  <c r="D10" i="1"/>
  <c r="E10" i="1"/>
  <c r="B11" i="1"/>
  <c r="C11" i="1"/>
  <c r="D11" i="1"/>
  <c r="E11" i="1"/>
  <c r="C8" i="1"/>
  <c r="D8" i="1"/>
  <c r="E8" i="1"/>
  <c r="K3" i="1"/>
  <c r="K4" i="1"/>
  <c r="K5" i="1"/>
  <c r="J3" i="1"/>
  <c r="J4" i="1"/>
  <c r="J5" i="1"/>
  <c r="J2" i="1"/>
  <c r="K2" i="1"/>
  <c r="H4" i="1"/>
  <c r="H5" i="1"/>
  <c r="I5" i="1" s="1"/>
  <c r="I3" i="1"/>
  <c r="I4" i="1"/>
  <c r="I2" i="1"/>
  <c r="H3" i="1"/>
  <c r="B8" i="1"/>
  <c r="H2" i="1"/>
  <c r="G2" i="1" a="1"/>
  <c r="G2" i="1" s="1"/>
  <c r="B8" i="2" l="1"/>
  <c r="B14" i="2" s="1"/>
  <c r="B20" i="2" s="1"/>
  <c r="H3" i="2"/>
  <c r="I2" i="2"/>
  <c r="I3" i="2" l="1"/>
  <c r="B9" i="2"/>
  <c r="B15" i="2" s="1"/>
  <c r="B21" i="2" s="1"/>
  <c r="H4" i="2"/>
  <c r="C8" i="2"/>
  <c r="C14" i="2" s="1"/>
  <c r="C20" i="2" s="1"/>
  <c r="J2" i="2"/>
  <c r="K2" i="2" l="1"/>
  <c r="E14" i="2" s="1"/>
  <c r="E20" i="2" s="1"/>
  <c r="D8" i="2"/>
  <c r="D14" i="2" s="1"/>
  <c r="D20" i="2" s="1"/>
  <c r="C9" i="2"/>
  <c r="C15" i="2" s="1"/>
  <c r="C21" i="2" s="1"/>
  <c r="J3" i="2"/>
  <c r="B16" i="2"/>
  <c r="B22" i="2" s="1"/>
  <c r="H5" i="2"/>
  <c r="I4" i="2"/>
  <c r="C10" i="2" l="1"/>
  <c r="C16" i="2" s="1"/>
  <c r="C22" i="2" s="1"/>
  <c r="J4" i="2"/>
  <c r="B11" i="2"/>
  <c r="B17" i="2" s="1"/>
  <c r="B23" i="2" s="1"/>
  <c r="I5" i="2"/>
  <c r="D15" i="2"/>
  <c r="D21" i="2" s="1"/>
  <c r="K3" i="2"/>
  <c r="E9" i="2" s="1"/>
  <c r="E15" i="2" s="1"/>
  <c r="E21" i="2" s="1"/>
  <c r="C11" i="2" l="1"/>
  <c r="C17" i="2" s="1"/>
  <c r="C23" i="2" s="1"/>
  <c r="J5" i="2"/>
  <c r="D10" i="2"/>
  <c r="D16" i="2" s="1"/>
  <c r="D22" i="2" s="1"/>
  <c r="K4" i="2"/>
  <c r="E16" i="2" s="1"/>
  <c r="E22" i="2" s="1"/>
  <c r="K5" i="2" l="1"/>
  <c r="E11" i="2" s="1"/>
  <c r="E17" i="2" s="1"/>
  <c r="E23" i="2" s="1"/>
  <c r="D11" i="2"/>
  <c r="D17" i="2" s="1"/>
  <c r="D23" i="2" s="1"/>
  <c r="H20" i="2" l="1"/>
  <c r="G2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<sst xmlns="http://schemas.openxmlformats.org/spreadsheetml/2006/main" count="16" uniqueCount="8">
  <si>
    <t>S</t>
  </si>
  <si>
    <t>Max W</t>
  </si>
  <si>
    <t>Max Error</t>
  </si>
  <si>
    <t>MAE</t>
  </si>
  <si>
    <t>Find max W and use to compute S</t>
  </si>
  <si>
    <t>W_q = round(W/S)</t>
  </si>
  <si>
    <t>W_deq = W_q * S</t>
  </si>
  <si>
    <t>Error = W - W_deq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</si>
</sst>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5434-31D1-4CAD-9944-09E53247A54C}">
  <dimension ref="B1:K23"/>
  <sheetViews>
    <sheetView workbookViewId="0">
      <selection activeCell="B7" sqref="B7:E7"/>
    </sheetView>
  </sheetViews>
  <sheetFormatPr defaultRowHeight="14.4" x14ac:dyDescent="0.3"/>
  <sheetData>
    <row r="1" spans="2:11" x14ac:dyDescent="0.3">
      <c r="B1" s="1" t="s">
        <v>4</v>
      </c>
      <c r="C1" s="1"/>
      <c r="D1" s="1"/>
      <c r="E1" s="1"/>
      <c r="G1" t="s">
        <v>1</v>
      </c>
      <c r="H1" t="s">
        <v>0</v>
      </c>
    </row>
    <row r="2" spans="2:11" x14ac:dyDescent="0.3">
      <c r="B2">
        <v>0.85</v>
      </c>
      <c r="C2">
        <v>-1.2</v>
      </c>
      <c r="D2">
        <v>0.34</v>
      </c>
      <c r="E2">
        <v>2.1</v>
      </c>
      <c r="G2" cm="1">
        <f t="array" ref="G2">MAX(ABS(B2:E5))</f>
        <v>2.31</v>
      </c>
      <c r="H2">
        <f>G2/127</f>
        <v>1.8188976377952755E-2</v>
      </c>
      <c r="I2">
        <f>H2</f>
        <v>1.8188976377952755E-2</v>
      </c>
      <c r="J2">
        <f t="shared" ref="J2:K2" si="0">I2</f>
        <v>1.8188976377952755E-2</v>
      </c>
      <c r="K2">
        <f t="shared" si="0"/>
        <v>1.8188976377952755E-2</v>
      </c>
    </row>
    <row r="3" spans="2:11" x14ac:dyDescent="0.3">
      <c r="B3">
        <v>-7.0000000000000007E-2</v>
      </c>
      <c r="C3">
        <v>0.91</v>
      </c>
      <c r="D3">
        <v>-1.88</v>
      </c>
      <c r="E3">
        <v>0.12</v>
      </c>
      <c r="H3">
        <f>H2</f>
        <v>1.8188976377952755E-2</v>
      </c>
      <c r="I3">
        <f t="shared" ref="I3:K5" si="1">H3</f>
        <v>1.8188976377952755E-2</v>
      </c>
      <c r="J3">
        <f t="shared" si="1"/>
        <v>1.8188976377952755E-2</v>
      </c>
      <c r="K3">
        <f t="shared" si="1"/>
        <v>1.8188976377952755E-2</v>
      </c>
    </row>
    <row r="4" spans="2:11" x14ac:dyDescent="0.3">
      <c r="B4">
        <v>1.55</v>
      </c>
      <c r="C4">
        <v>0.03</v>
      </c>
      <c r="D4">
        <v>-0.44</v>
      </c>
      <c r="E4">
        <v>-2.31</v>
      </c>
      <c r="H4">
        <f t="shared" ref="H4:H5" si="2">H3</f>
        <v>1.8188976377952755E-2</v>
      </c>
      <c r="I4">
        <f t="shared" si="1"/>
        <v>1.8188976377952755E-2</v>
      </c>
      <c r="J4">
        <f t="shared" si="1"/>
        <v>1.8188976377952755E-2</v>
      </c>
      <c r="K4">
        <f t="shared" si="1"/>
        <v>1.8188976377952755E-2</v>
      </c>
    </row>
    <row r="5" spans="2:11" x14ac:dyDescent="0.3">
      <c r="B5">
        <v>-0.18</v>
      </c>
      <c r="C5">
        <v>1.03</v>
      </c>
      <c r="D5">
        <v>0.77</v>
      </c>
      <c r="E5">
        <v>0.55000000000000004</v>
      </c>
      <c r="H5">
        <f t="shared" si="2"/>
        <v>1.8188976377952755E-2</v>
      </c>
      <c r="I5">
        <f t="shared" si="1"/>
        <v>1.8188976377952755E-2</v>
      </c>
      <c r="J5">
        <f t="shared" si="1"/>
        <v>1.8188976377952755E-2</v>
      </c>
      <c r="K5">
        <f t="shared" si="1"/>
        <v>1.8188976377952755E-2</v>
      </c>
    </row>
    <row r="7" spans="2:11" x14ac:dyDescent="0.3">
      <c r="B7" s="1" t="s">
        <v>5</v>
      </c>
      <c r="C7" s="1"/>
      <c r="D7" s="1"/>
      <c r="E7" s="1"/>
    </row>
    <row r="8" spans="2:11" x14ac:dyDescent="0.3">
      <c r="B8">
        <f>ROUND(B2/H2,0)</f>
        <v>47</v>
      </c>
      <c r="C8">
        <f t="shared" ref="C8:E8" si="3">ROUND(C2/I2,0)</f>
        <v>-66</v>
      </c>
      <c r="D8">
        <f t="shared" si="3"/>
        <v>19</v>
      </c>
      <c r="E8">
        <f t="shared" si="3"/>
        <v>115</v>
      </c>
    </row>
    <row r="9" spans="2:11" x14ac:dyDescent="0.3">
      <c r="B9">
        <f t="shared" ref="B9:B11" si="4">ROUND(B3/H3,0)</f>
        <v>-4</v>
      </c>
      <c r="C9">
        <f t="shared" ref="C9:C11" si="5">ROUND(C3/I3,0)</f>
        <v>50</v>
      </c>
      <c r="D9">
        <f t="shared" ref="D9:D11" si="6">ROUND(D3/J3,0)</f>
        <v>-103</v>
      </c>
      <c r="E9">
        <f t="shared" ref="E9:E11" si="7">ROUND(E3/K3,0)</f>
        <v>7</v>
      </c>
    </row>
    <row r="10" spans="2:11" x14ac:dyDescent="0.3">
      <c r="B10">
        <f t="shared" si="4"/>
        <v>85</v>
      </c>
      <c r="C10">
        <f t="shared" si="5"/>
        <v>2</v>
      </c>
      <c r="D10">
        <f t="shared" si="6"/>
        <v>-24</v>
      </c>
      <c r="E10">
        <f t="shared" si="7"/>
        <v>-127</v>
      </c>
    </row>
    <row r="11" spans="2:11" x14ac:dyDescent="0.3">
      <c r="B11">
        <f t="shared" si="4"/>
        <v>-10</v>
      </c>
      <c r="C11">
        <f t="shared" si="5"/>
        <v>57</v>
      </c>
      <c r="D11">
        <f t="shared" si="6"/>
        <v>42</v>
      </c>
      <c r="E11">
        <f t="shared" si="7"/>
        <v>30</v>
      </c>
    </row>
    <row r="13" spans="2:11" x14ac:dyDescent="0.3">
      <c r="B13" s="1" t="s">
        <v>6</v>
      </c>
      <c r="C13" s="1"/>
      <c r="D13" s="1"/>
      <c r="E13" s="1"/>
    </row>
    <row r="14" spans="2:11" x14ac:dyDescent="0.3">
      <c r="B14">
        <f>B8*H2</f>
        <v>0.85488188976377943</v>
      </c>
      <c r="C14">
        <f t="shared" ref="C14:E14" si="8">C8*I2</f>
        <v>-1.2004724409448819</v>
      </c>
      <c r="D14">
        <f t="shared" si="8"/>
        <v>0.34559055118110232</v>
      </c>
      <c r="E14">
        <f t="shared" si="8"/>
        <v>2.0917322834645669</v>
      </c>
    </row>
    <row r="15" spans="2:11" x14ac:dyDescent="0.3">
      <c r="B15">
        <f t="shared" ref="B15:B17" si="9">B9*H3</f>
        <v>-7.275590551181102E-2</v>
      </c>
      <c r="C15">
        <f t="shared" ref="C15:C17" si="10">C9*I3</f>
        <v>0.90944881889763773</v>
      </c>
      <c r="D15">
        <f t="shared" ref="D15:D17" si="11">D9*J3</f>
        <v>-1.8734645669291337</v>
      </c>
      <c r="E15">
        <f t="shared" ref="E15:E17" si="12">E9*K3</f>
        <v>0.12732283464566929</v>
      </c>
    </row>
    <row r="16" spans="2:11" x14ac:dyDescent="0.3">
      <c r="B16">
        <f t="shared" si="9"/>
        <v>1.5460629921259841</v>
      </c>
      <c r="C16">
        <f t="shared" si="10"/>
        <v>3.637795275590551E-2</v>
      </c>
      <c r="D16">
        <f t="shared" si="11"/>
        <v>-0.43653543307086612</v>
      </c>
      <c r="E16">
        <f t="shared" si="12"/>
        <v>-2.31</v>
      </c>
    </row>
    <row r="17" spans="2:8" x14ac:dyDescent="0.3">
      <c r="B17">
        <f t="shared" si="9"/>
        <v>-0.18188976377952754</v>
      </c>
      <c r="C17">
        <f t="shared" si="10"/>
        <v>1.0367716535433071</v>
      </c>
      <c r="D17">
        <f t="shared" si="11"/>
        <v>0.76393700787401575</v>
      </c>
      <c r="E17">
        <f t="shared" si="12"/>
        <v>0.54566929133858266</v>
      </c>
    </row>
    <row r="19" spans="2:8" x14ac:dyDescent="0.3">
      <c r="B19" s="1" t="s">
        <v>7</v>
      </c>
      <c r="C19" s="1"/>
      <c r="D19" s="1"/>
      <c r="E19" s="1"/>
      <c r="G19" t="s">
        <v>2</v>
      </c>
      <c r="H19" t="s">
        <v>3</v>
      </c>
    </row>
    <row r="20" spans="2:8" x14ac:dyDescent="0.3">
      <c r="B20">
        <f>ABS(B2-B14)</f>
        <v>4.8818897637794567E-3</v>
      </c>
      <c r="C20">
        <f t="shared" ref="C20:E20" si="13">ABS(C2-C14)</f>
        <v>4.7244094488196886E-4</v>
      </c>
      <c r="D20">
        <f t="shared" si="13"/>
        <v>5.590551181102299E-3</v>
      </c>
      <c r="E20">
        <f t="shared" si="13"/>
        <v>8.2677165354332338E-3</v>
      </c>
      <c r="G20">
        <f>MAX(B20:E23)</f>
        <v>8.2677165354332338E-3</v>
      </c>
      <c r="H20">
        <f>AVERAGE(B20:E23)</f>
        <v>4.3257874015748413E-3</v>
      </c>
    </row>
    <row r="21" spans="2:8" x14ac:dyDescent="0.3">
      <c r="B21">
        <f t="shared" ref="B21:E21" si="14">ABS(B3-B15)</f>
        <v>2.7559055118110132E-3</v>
      </c>
      <c r="C21">
        <f t="shared" si="14"/>
        <v>5.51181102362297E-4</v>
      </c>
      <c r="D21">
        <f t="shared" si="14"/>
        <v>6.5354330708662367E-3</v>
      </c>
      <c r="E21">
        <f t="shared" si="14"/>
        <v>7.3228346456692961E-3</v>
      </c>
    </row>
    <row r="22" spans="2:8" x14ac:dyDescent="0.3">
      <c r="B22">
        <f t="shared" ref="B22:E22" si="15">ABS(B4-B16)</f>
        <v>3.9370078740159631E-3</v>
      </c>
      <c r="C22">
        <f t="shared" si="15"/>
        <v>6.377952755905511E-3</v>
      </c>
      <c r="D22">
        <f t="shared" si="15"/>
        <v>3.4645669291338832E-3</v>
      </c>
      <c r="E22">
        <f t="shared" si="15"/>
        <v>0</v>
      </c>
    </row>
    <row r="23" spans="2:8" x14ac:dyDescent="0.3">
      <c r="B23">
        <f t="shared" ref="B23:E23" si="16">ABS(B5-B17)</f>
        <v>1.8897637795275424E-3</v>
      </c>
      <c r="C23">
        <f t="shared" si="16"/>
        <v>6.7716535433071101E-3</v>
      </c>
      <c r="D23">
        <f t="shared" si="16"/>
        <v>6.0629921259842678E-3</v>
      </c>
      <c r="E23">
        <f t="shared" si="16"/>
        <v>4.3307086614173818E-3</v>
      </c>
    </row>
  </sheetData>
  <mergeCells count="4">
    <mergeCell ref="B1:E1"/>
    <mergeCell ref="B7:E7"/>
    <mergeCell ref="B13:E13"/>
    <mergeCell ref="B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CA0E-F02C-45F7-8DD4-30BD2033E9C2}">
  <dimension ref="B1:K23"/>
  <sheetViews>
    <sheetView tabSelected="1" workbookViewId="0">
      <selection activeCell="K27" sqref="K27"/>
    </sheetView>
  </sheetViews>
  <sheetFormatPr defaultRowHeight="14.4" x14ac:dyDescent="0.3"/>
  <sheetData>
    <row r="1" spans="2:11" x14ac:dyDescent="0.3">
      <c r="B1" s="1" t="s">
        <v>4</v>
      </c>
      <c r="C1" s="1"/>
      <c r="D1" s="1"/>
      <c r="E1" s="1"/>
      <c r="G1" t="s">
        <v>1</v>
      </c>
      <c r="H1" t="s">
        <v>0</v>
      </c>
    </row>
    <row r="2" spans="2:11" x14ac:dyDescent="0.3">
      <c r="B2">
        <v>0.85</v>
      </c>
      <c r="C2">
        <v>-1.2</v>
      </c>
      <c r="D2">
        <v>0.34</v>
      </c>
      <c r="E2">
        <v>2.1</v>
      </c>
      <c r="G2" cm="1">
        <f t="array" ref="G2">MAX(ABS(B2:E5))</f>
        <v>2.31</v>
      </c>
      <c r="H2">
        <v>0.01</v>
      </c>
      <c r="I2">
        <f>H2</f>
        <v>0.01</v>
      </c>
      <c r="J2">
        <f t="shared" ref="J2:K2" si="0">I2</f>
        <v>0.01</v>
      </c>
      <c r="K2">
        <f t="shared" si="0"/>
        <v>0.01</v>
      </c>
    </row>
    <row r="3" spans="2:11" x14ac:dyDescent="0.3">
      <c r="B3">
        <v>-7.0000000000000007E-2</v>
      </c>
      <c r="C3">
        <v>0.91</v>
      </c>
      <c r="D3">
        <v>-1.88</v>
      </c>
      <c r="E3">
        <v>0.12</v>
      </c>
      <c r="H3">
        <f>H2</f>
        <v>0.01</v>
      </c>
      <c r="I3">
        <f t="shared" ref="I3:K5" si="1">H3</f>
        <v>0.01</v>
      </c>
      <c r="J3">
        <f t="shared" si="1"/>
        <v>0.01</v>
      </c>
      <c r="K3">
        <f t="shared" si="1"/>
        <v>0.01</v>
      </c>
    </row>
    <row r="4" spans="2:11" x14ac:dyDescent="0.3">
      <c r="B4">
        <v>1.55</v>
      </c>
      <c r="C4">
        <v>0.03</v>
      </c>
      <c r="D4">
        <v>-0.44</v>
      </c>
      <c r="E4">
        <v>-2.31</v>
      </c>
      <c r="H4">
        <f t="shared" ref="H4:H5" si="2">H3</f>
        <v>0.01</v>
      </c>
      <c r="I4">
        <f t="shared" si="1"/>
        <v>0.01</v>
      </c>
      <c r="J4">
        <f t="shared" si="1"/>
        <v>0.01</v>
      </c>
      <c r="K4">
        <f t="shared" si="1"/>
        <v>0.01</v>
      </c>
    </row>
    <row r="5" spans="2:11" x14ac:dyDescent="0.3">
      <c r="B5">
        <v>-0.18</v>
      </c>
      <c r="C5">
        <v>1.03</v>
      </c>
      <c r="D5">
        <v>0.77</v>
      </c>
      <c r="E5">
        <v>0.55000000000000004</v>
      </c>
      <c r="H5">
        <f t="shared" si="2"/>
        <v>0.01</v>
      </c>
      <c r="I5">
        <f t="shared" si="1"/>
        <v>0.01</v>
      </c>
      <c r="J5">
        <f t="shared" si="1"/>
        <v>0.01</v>
      </c>
      <c r="K5">
        <f t="shared" si="1"/>
        <v>0.01</v>
      </c>
    </row>
    <row r="7" spans="2:11" x14ac:dyDescent="0.3">
      <c r="B7" s="1" t="s">
        <v>5</v>
      </c>
      <c r="C7" s="1"/>
      <c r="D7" s="1"/>
      <c r="E7" s="1"/>
    </row>
    <row r="8" spans="2:11" x14ac:dyDescent="0.3">
      <c r="B8">
        <f>ROUND(B2/H2,0)</f>
        <v>85</v>
      </c>
      <c r="C8">
        <f t="shared" ref="C8:E11" si="3">ROUND(C2/I2,0)</f>
        <v>-120</v>
      </c>
      <c r="D8">
        <f t="shared" si="3"/>
        <v>34</v>
      </c>
      <c r="E8">
        <v>127</v>
      </c>
    </row>
    <row r="9" spans="2:11" x14ac:dyDescent="0.3">
      <c r="B9">
        <f t="shared" ref="B9:B11" si="4">ROUND(B3/H3,0)</f>
        <v>-7</v>
      </c>
      <c r="C9">
        <f t="shared" si="3"/>
        <v>91</v>
      </c>
      <c r="D9">
        <v>-128</v>
      </c>
      <c r="E9">
        <f t="shared" si="3"/>
        <v>12</v>
      </c>
    </row>
    <row r="10" spans="2:11" x14ac:dyDescent="0.3">
      <c r="B10">
        <v>127</v>
      </c>
      <c r="C10">
        <f t="shared" si="3"/>
        <v>3</v>
      </c>
      <c r="D10">
        <f t="shared" si="3"/>
        <v>-44</v>
      </c>
      <c r="E10">
        <v>-128</v>
      </c>
    </row>
    <row r="11" spans="2:11" x14ac:dyDescent="0.3">
      <c r="B11">
        <f t="shared" si="4"/>
        <v>-18</v>
      </c>
      <c r="C11">
        <f t="shared" si="3"/>
        <v>103</v>
      </c>
      <c r="D11">
        <f t="shared" si="3"/>
        <v>77</v>
      </c>
      <c r="E11">
        <f t="shared" si="3"/>
        <v>55</v>
      </c>
    </row>
    <row r="13" spans="2:11" x14ac:dyDescent="0.3">
      <c r="B13" s="1" t="s">
        <v>6</v>
      </c>
      <c r="C13" s="1"/>
      <c r="D13" s="1"/>
      <c r="E13" s="1"/>
    </row>
    <row r="14" spans="2:11" x14ac:dyDescent="0.3">
      <c r="B14">
        <f>B8*H2</f>
        <v>0.85</v>
      </c>
      <c r="C14">
        <f t="shared" ref="C14:E17" si="5">C8*I2</f>
        <v>-1.2</v>
      </c>
      <c r="D14">
        <f t="shared" si="5"/>
        <v>0.34</v>
      </c>
      <c r="E14">
        <f t="shared" si="5"/>
        <v>1.27</v>
      </c>
    </row>
    <row r="15" spans="2:11" x14ac:dyDescent="0.3">
      <c r="B15">
        <f t="shared" ref="B15:B17" si="6">B9*H3</f>
        <v>-7.0000000000000007E-2</v>
      </c>
      <c r="C15">
        <f t="shared" si="5"/>
        <v>0.91</v>
      </c>
      <c r="D15">
        <f t="shared" si="5"/>
        <v>-1.28</v>
      </c>
      <c r="E15">
        <f t="shared" si="5"/>
        <v>0.12</v>
      </c>
    </row>
    <row r="16" spans="2:11" x14ac:dyDescent="0.3">
      <c r="B16">
        <f t="shared" si="6"/>
        <v>1.27</v>
      </c>
      <c r="C16">
        <f t="shared" si="5"/>
        <v>0.03</v>
      </c>
      <c r="D16">
        <f t="shared" si="5"/>
        <v>-0.44</v>
      </c>
      <c r="E16">
        <f t="shared" si="5"/>
        <v>-1.28</v>
      </c>
    </row>
    <row r="17" spans="2:8" x14ac:dyDescent="0.3">
      <c r="B17">
        <f t="shared" si="6"/>
        <v>-0.18</v>
      </c>
      <c r="C17">
        <f t="shared" si="5"/>
        <v>1.03</v>
      </c>
      <c r="D17">
        <f t="shared" si="5"/>
        <v>0.77</v>
      </c>
      <c r="E17">
        <f t="shared" si="5"/>
        <v>0.55000000000000004</v>
      </c>
    </row>
    <row r="19" spans="2:8" x14ac:dyDescent="0.3">
      <c r="B19" s="1" t="s">
        <v>7</v>
      </c>
      <c r="C19" s="1"/>
      <c r="D19" s="1"/>
      <c r="E19" s="1"/>
      <c r="G19" t="s">
        <v>2</v>
      </c>
      <c r="H19" t="s">
        <v>3</v>
      </c>
    </row>
    <row r="20" spans="2:8" x14ac:dyDescent="0.3">
      <c r="B20">
        <f>ABS(B2-B14)</f>
        <v>0</v>
      </c>
      <c r="C20">
        <f t="shared" ref="C20:E20" si="7">ABS(C2-C14)</f>
        <v>0</v>
      </c>
      <c r="D20">
        <f t="shared" si="7"/>
        <v>0</v>
      </c>
      <c r="E20">
        <f t="shared" si="7"/>
        <v>0.83000000000000007</v>
      </c>
      <c r="G20">
        <f>MAX(B20:E23)</f>
        <v>1.03</v>
      </c>
      <c r="H20">
        <f>AVERAGE(B20:E23)</f>
        <v>0.17125000000000001</v>
      </c>
    </row>
    <row r="21" spans="2:8" x14ac:dyDescent="0.3">
      <c r="B21">
        <f t="shared" ref="B21:E23" si="8">ABS(B3-B15)</f>
        <v>0</v>
      </c>
      <c r="C21">
        <f t="shared" si="8"/>
        <v>0</v>
      </c>
      <c r="D21">
        <f t="shared" si="8"/>
        <v>0.59999999999999987</v>
      </c>
      <c r="E21">
        <f t="shared" si="8"/>
        <v>0</v>
      </c>
    </row>
    <row r="22" spans="2:8" x14ac:dyDescent="0.3">
      <c r="B22">
        <f t="shared" si="8"/>
        <v>0.28000000000000003</v>
      </c>
      <c r="C22">
        <f t="shared" si="8"/>
        <v>0</v>
      </c>
      <c r="D22">
        <f t="shared" si="8"/>
        <v>0</v>
      </c>
      <c r="E22">
        <f t="shared" si="8"/>
        <v>1.03</v>
      </c>
    </row>
    <row r="23" spans="2:8" x14ac:dyDescent="0.3">
      <c r="B23">
        <f t="shared" si="8"/>
        <v>0</v>
      </c>
      <c r="C23">
        <f t="shared" si="8"/>
        <v>0</v>
      </c>
      <c r="D23">
        <f t="shared" si="8"/>
        <v>0</v>
      </c>
      <c r="E23">
        <f t="shared" si="8"/>
        <v>0</v>
      </c>
    </row>
  </sheetData>
  <mergeCells count="4">
    <mergeCell ref="B1:E1"/>
    <mergeCell ref="B7:E7"/>
    <mergeCell ref="B13:E13"/>
    <mergeCell ref="B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Boss</dc:creator>
  <cp:lastModifiedBy>David Boss</cp:lastModifiedBy>
  <dcterms:created xsi:type="dcterms:W3CDTF">2026-04-26T21:17:30Z</dcterms:created>
  <dcterms:modified xsi:type="dcterms:W3CDTF">2026-04-27T04:19:33Z</dcterms:modified>
</cp:coreProperties>
</file>